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has\Downloads\"/>
    </mc:Choice>
  </mc:AlternateContent>
  <xr:revisionPtr revIDLastSave="0" documentId="8_{54962543-CA8D-44FE-923B-57A4F6B8070D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Business problem" sheetId="5" r:id="rId1"/>
    <sheet name="Attributes and Level " sheetId="6" r:id="rId2"/>
    <sheet name="Stimulated customer data" sheetId="1" r:id="rId3"/>
    <sheet name="Dummyfication" sheetId="3" r:id="rId4"/>
    <sheet name="Regression Analysis" sheetId="7" r:id="rId5"/>
    <sheet name="Conjoint Analysis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8" l="1"/>
  <c r="H11" i="8"/>
  <c r="H7" i="8"/>
  <c r="H3" i="8"/>
  <c r="F7" i="8"/>
  <c r="F3" i="8"/>
  <c r="D8" i="8"/>
  <c r="D7" i="8"/>
  <c r="D4" i="8"/>
  <c r="D3" i="8"/>
  <c r="B9" i="8"/>
  <c r="B5" i="8"/>
  <c r="C17" i="1" l="1"/>
  <c r="C18" i="1" l="1"/>
  <c r="C19" i="1"/>
  <c r="C20" i="1"/>
  <c r="C21" i="1"/>
  <c r="C22" i="1"/>
  <c r="C23" i="1"/>
  <c r="C24" i="1"/>
</calcChain>
</file>

<file path=xl/sharedStrings.xml><?xml version="1.0" encoding="utf-8"?>
<sst xmlns="http://schemas.openxmlformats.org/spreadsheetml/2006/main" count="152" uniqueCount="114">
  <si>
    <t>S.No</t>
  </si>
  <si>
    <t>Profiles</t>
  </si>
  <si>
    <t>Respondent 1</t>
  </si>
  <si>
    <t>Respondent 2</t>
  </si>
  <si>
    <t>Respondent 3</t>
  </si>
  <si>
    <t>Respondent 4</t>
  </si>
  <si>
    <t>Respondent 5</t>
  </si>
  <si>
    <t>Respondent 6</t>
  </si>
  <si>
    <t>Respondent 7</t>
  </si>
  <si>
    <t>Respondent 8</t>
  </si>
  <si>
    <t>Respondent 9</t>
  </si>
  <si>
    <t>Respondent 10</t>
  </si>
  <si>
    <t>Respondent 11</t>
  </si>
  <si>
    <t>Respondent 12</t>
  </si>
  <si>
    <t>Respondent 13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</si>
  <si>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</si>
  <si>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</si>
  <si>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</si>
  <si>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</si>
  <si>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</si>
  <si>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</si>
  <si>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</si>
  <si>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Blinkit – 10 min Delivery + ₹0 Fee + Medium Availability + Medium Discount</t>
  </si>
  <si>
    <t>Blinkit – 10 min Delivery + ₹20 Fee + High Availability + Low Discount</t>
  </si>
  <si>
    <t>Blinkit – 20 min Delivery + ₹0 Fee + High Availability + High Discount</t>
  </si>
  <si>
    <t>Blinkit – 20 min Delivery + ₹40 Fee + Medium Availability + Low Discount</t>
  </si>
  <si>
    <t>Blinkit – 30 min Delivery + ₹0 Fee + Low Availability + Medium Discount</t>
  </si>
  <si>
    <t>Blinkit – 30 min Delivery + ₹20 Fee + High Availability + High Discount</t>
  </si>
  <si>
    <t>Blinkit – 20 min Delivery + ₹20 Fee + Medium Availability + Low Discount</t>
  </si>
  <si>
    <t>Blinkit – 10 min Delivery + ₹40 Fee + High Availability + Medium Discount</t>
  </si>
  <si>
    <t>Average Respondent of 20 Individual</t>
  </si>
  <si>
    <t>Average User Rating</t>
  </si>
  <si>
    <t>of 20 Respondents</t>
  </si>
  <si>
    <t>Preference Responses from 20 Individual</t>
  </si>
  <si>
    <t>Delivery Fee (₹20)</t>
  </si>
  <si>
    <t>Delivery Fee (₹40)</t>
  </si>
  <si>
    <t>Delivery Time (20 min)</t>
  </si>
  <si>
    <t>Delivery Time (30 min)</t>
  </si>
  <si>
    <t>High Availability</t>
  </si>
  <si>
    <t>High Discount</t>
  </si>
  <si>
    <t>Avg Rating</t>
  </si>
  <si>
    <t>Customer Preference Analysis for Quick Grocery Delivery Services – Blinkit</t>
  </si>
  <si>
    <t>Part 1: Business Problem Identification &amp; Data Understanding</t>
  </si>
  <si>
    <t>1. Product / Service Category</t>
  </si>
  <si>
    <r>
      <t xml:space="preserve">The selected service category for this study is </t>
    </r>
    <r>
      <rPr>
        <b/>
        <sz val="11"/>
        <color theme="1"/>
        <rFont val="Calibri"/>
        <family val="2"/>
        <scheme val="minor"/>
      </rPr>
      <t>Quick Grocery Delivery Services</t>
    </r>
    <r>
      <rPr>
        <sz val="11"/>
        <color theme="1"/>
        <rFont val="Calibri"/>
        <family val="2"/>
        <scheme val="minor"/>
      </rPr>
      <t xml:space="preserve">, focusing on the platform </t>
    </r>
    <r>
      <rPr>
        <b/>
        <sz val="11"/>
        <color theme="1"/>
        <rFont val="Calibri"/>
        <family val="2"/>
        <scheme val="minor"/>
      </rPr>
      <t>Blinkit</t>
    </r>
    <r>
      <rPr>
        <sz val="11"/>
        <color theme="1"/>
        <rFont val="Calibri"/>
        <family val="2"/>
        <scheme val="minor"/>
      </rPr>
      <t>.</t>
    </r>
  </si>
  <si>
    <t>Blinkit is a quick commerce company that delivers groceries and essential items within minutes through its mobile application.</t>
  </si>
  <si>
    <t>2. Business Decision Problem</t>
  </si>
  <si>
    <t>Customers choose grocery delivery platforms based on multiple factors such as delivery time, delivery fee, product availability, and discounts.</t>
  </si>
  <si>
    <t>Business Decision Problem</t>
  </si>
  <si>
    <t>Which combination of service features will maximize customer preference for quick grocery delivery services?</t>
  </si>
  <si>
    <t>Understanding customer preferences will help Blinkit design better service packages and improve customer satisfaction.</t>
  </si>
  <si>
    <t>3. Target Customer Segment</t>
  </si>
  <si>
    <t>The study focuses on the following customer segments:</t>
  </si>
  <si>
    <t>College students</t>
  </si>
  <si>
    <t>Working professionals</t>
  </si>
  <si>
    <t>Urban households</t>
  </si>
  <si>
    <t>Frequent online grocery shoppers</t>
  </si>
  <si>
    <t>These customers frequently use online grocery delivery platforms.</t>
  </si>
  <si>
    <t>4. Key Decision Maker</t>
  </si>
  <si>
    <t>The key decision makers in this context are:</t>
  </si>
  <si>
    <t>Product Managers</t>
  </si>
  <si>
    <t>Marketing Managers</t>
  </si>
  <si>
    <t>Business Strategy Managers</t>
  </si>
  <si>
    <t>These managers analyze customer preferences to design optimal service offerings.</t>
  </si>
  <si>
    <t>5. Business Objective</t>
  </si>
  <si>
    <t>The main objective of this study is:</t>
  </si>
  <si>
    <t>To analyze customer preferences for different attributes of quick grocery delivery services.</t>
  </si>
  <si>
    <t>To identify the most important factors influencing customer choice.</t>
  </si>
  <si>
    <t>To recommend the optimal service configuration that maximizes customer preference.</t>
  </si>
  <si>
    <t>Part 2: Attribute and Level Identification</t>
  </si>
  <si>
    <t>For the conjoint analysis, four important attributes were selected based on customer behavior in quick commerce platforms.</t>
  </si>
  <si>
    <t>Selected Attributes and Levels</t>
  </si>
  <si>
    <t>Attribute</t>
  </si>
  <si>
    <t>Levels</t>
  </si>
  <si>
    <t>Delivery Time</t>
  </si>
  <si>
    <t>10 minutes / 20 minutes / 30 minutes</t>
  </si>
  <si>
    <t>Delivery Fee</t>
  </si>
  <si>
    <t>₹0 / ₹20 / ₹40</t>
  </si>
  <si>
    <t>Product Availability</t>
  </si>
  <si>
    <t>Low / Medium / High</t>
  </si>
  <si>
    <t>Discounts</t>
  </si>
  <si>
    <t>Justification of Attributes</t>
  </si>
  <si>
    <t>Fast delivery is the main competitive advantage of quick commerce platforms like Blinkit.</t>
  </si>
  <si>
    <t>Delivery charges influence whether customers complete their purchase.</t>
  </si>
  <si>
    <t>Customers prefer platforms where a wide range of products is available.</t>
  </si>
  <si>
    <t>Discounts and promotional offers increase customer engagement and purchase likelihood.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</si>
  <si>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</si>
  <si>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</si>
  <si>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</si>
  <si>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</si>
  <si>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</si>
  <si>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</si>
  <si>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</si>
  <si>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</si>
  <si>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</si>
  <si>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</si>
  <si>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</si>
  <si>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</si>
  <si>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</si>
  <si>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</si>
  <si>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</si>
  <si>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</si>
  <si>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</si>
  <si>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</si>
  <si>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</si>
  <si>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</si>
  <si>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</si>
  <si>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</si>
  <si>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</si>
  <si>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</si>
  <si>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coefficients</t>
  </si>
  <si>
    <t>Partworths</t>
  </si>
  <si>
    <t>Range</t>
  </si>
  <si>
    <t>Importnace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</si>
</sst>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5" borderId="0" xfId="0" applyFill="1"/>
    <xf numFmtId="0" fontId="0" fillId="4" borderId="0" xfId="0" applyFill="1"/>
    <xf numFmtId="0" fontId="0" fillId="7" borderId="0" xfId="0" applyFill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right" vertical="center" wrapText="1"/>
    </xf>
    <xf numFmtId="0" fontId="0" fillId="8" borderId="1" xfId="0" applyFill="1" applyBorder="1" applyAlignment="1">
      <alignment vertical="center" wrapText="1"/>
    </xf>
    <xf numFmtId="0" fontId="5" fillId="0" borderId="0" xfId="0" applyFont="1"/>
    <xf numFmtId="0" fontId="7" fillId="0" borderId="0" xfId="0" applyFont="1"/>
    <xf numFmtId="0" fontId="3" fillId="7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5" fillId="10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3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3" xfId="0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Continuous"/>
    </xf>
    <xf numFmtId="0" fontId="0" fillId="9" borderId="0" xfId="0" applyFill="1"/>
    <xf numFmtId="0" fontId="0" fillId="9" borderId="3" xfId="0" applyFill="1" applyBorder="1"/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665FC3E-B79C-474D-93E2-38DB7E251814}"/>
  </tableStyles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3FBC-858A-4B9F-A57B-6F9C0A00DF79}">
  <dimension ref="A1:P35"/>
  <sheetViews>
    <sheetView workbookViewId="0">
      <selection activeCell="L10" sqref="L10"/>
    </sheetView>
  </sheetViews>
  <sheetFormatPr defaultRowHeight="14.4" x14ac:dyDescent="0.3"/>
  <sheetData>
    <row r="1" spans="1:16" ht="21" x14ac:dyDescent="0.4">
      <c r="A1" s="21" t="s">
        <v>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6"/>
      <c r="M1" s="16"/>
      <c r="N1" s="16"/>
      <c r="O1" s="16"/>
      <c r="P1" s="16"/>
    </row>
    <row r="3" spans="1:16" ht="18" x14ac:dyDescent="0.35">
      <c r="A3" s="23" t="s">
        <v>42</v>
      </c>
      <c r="B3" s="24"/>
      <c r="C3" s="24"/>
      <c r="D3" s="24"/>
      <c r="E3" s="24"/>
      <c r="F3" s="24"/>
      <c r="G3" s="24"/>
      <c r="H3" s="24"/>
      <c r="I3" s="17"/>
      <c r="J3" s="17"/>
      <c r="K3" s="17"/>
      <c r="L3" s="17"/>
      <c r="M3" s="17"/>
    </row>
    <row r="5" spans="1:16" ht="23.4" x14ac:dyDescent="0.3">
      <c r="A5" s="18" t="s">
        <v>43</v>
      </c>
      <c r="B5" s="4"/>
      <c r="C5" s="4"/>
      <c r="D5" s="4"/>
      <c r="E5" s="4"/>
    </row>
    <row r="7" spans="1:16" x14ac:dyDescent="0.3">
      <c r="A7" t="s">
        <v>44</v>
      </c>
    </row>
    <row r="9" spans="1:16" x14ac:dyDescent="0.3">
      <c r="A9" t="s">
        <v>45</v>
      </c>
    </row>
    <row r="12" spans="1:16" ht="23.4" x14ac:dyDescent="0.3">
      <c r="A12" s="18" t="s">
        <v>46</v>
      </c>
      <c r="B12" s="4"/>
      <c r="C12" s="4"/>
      <c r="D12" s="4"/>
      <c r="E12" s="4"/>
    </row>
    <row r="14" spans="1:16" x14ac:dyDescent="0.3">
      <c r="A14" t="s">
        <v>47</v>
      </c>
    </row>
    <row r="16" spans="1:16" x14ac:dyDescent="0.3">
      <c r="A16" s="10" t="s">
        <v>48</v>
      </c>
    </row>
    <row r="17" spans="1:13" x14ac:dyDescent="0.3">
      <c r="A17" s="19"/>
    </row>
    <row r="18" spans="1:13" x14ac:dyDescent="0.3">
      <c r="A18" s="19" t="s">
        <v>49</v>
      </c>
    </row>
    <row r="20" spans="1:13" x14ac:dyDescent="0.3">
      <c r="A20" t="s">
        <v>50</v>
      </c>
    </row>
    <row r="23" spans="1:13" ht="23.4" x14ac:dyDescent="0.3">
      <c r="A23" s="18" t="s">
        <v>51</v>
      </c>
      <c r="B23" s="4"/>
      <c r="C23" s="4"/>
      <c r="D23" s="4"/>
      <c r="E23" s="4"/>
      <c r="J23" s="18" t="s">
        <v>58</v>
      </c>
      <c r="K23" s="4"/>
      <c r="L23" s="4"/>
      <c r="M23" s="4"/>
    </row>
    <row r="25" spans="1:13" x14ac:dyDescent="0.3">
      <c r="A25" t="s">
        <v>52</v>
      </c>
      <c r="J25" t="s">
        <v>59</v>
      </c>
    </row>
    <row r="26" spans="1:13" x14ac:dyDescent="0.3">
      <c r="A26" s="19"/>
      <c r="J26" s="19"/>
    </row>
    <row r="27" spans="1:13" x14ac:dyDescent="0.3">
      <c r="A27" s="19" t="s">
        <v>53</v>
      </c>
      <c r="J27" s="19" t="s">
        <v>60</v>
      </c>
    </row>
    <row r="28" spans="1:13" x14ac:dyDescent="0.3">
      <c r="A28" s="19"/>
      <c r="J28" s="19"/>
    </row>
    <row r="29" spans="1:13" x14ac:dyDescent="0.3">
      <c r="A29" s="19" t="s">
        <v>54</v>
      </c>
      <c r="J29" s="19" t="s">
        <v>61</v>
      </c>
    </row>
    <row r="30" spans="1:13" x14ac:dyDescent="0.3">
      <c r="A30" s="19"/>
      <c r="J30" s="19"/>
    </row>
    <row r="31" spans="1:13" x14ac:dyDescent="0.3">
      <c r="A31" s="19" t="s">
        <v>55</v>
      </c>
      <c r="J31" s="19" t="s">
        <v>62</v>
      </c>
    </row>
    <row r="32" spans="1:13" x14ac:dyDescent="0.3">
      <c r="A32" s="19"/>
    </row>
    <row r="33" spans="1:10" x14ac:dyDescent="0.3">
      <c r="A33" s="19" t="s">
        <v>56</v>
      </c>
      <c r="J33" t="s">
        <v>63</v>
      </c>
    </row>
    <row r="35" spans="1:10" x14ac:dyDescent="0.3">
      <c r="A35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EE2E-89EB-46BB-8312-1337B2FF0D34}">
  <dimension ref="A1:I40"/>
  <sheetViews>
    <sheetView workbookViewId="0">
      <selection activeCell="G22" sqref="G22"/>
    </sheetView>
  </sheetViews>
  <sheetFormatPr defaultRowHeight="14.4" x14ac:dyDescent="0.3"/>
  <cols>
    <col min="1" max="1" width="104.21875" bestFit="1" customWidth="1"/>
  </cols>
  <sheetData>
    <row r="1" spans="1:9" ht="23.4" x14ac:dyDescent="0.3">
      <c r="A1" s="18" t="s">
        <v>64</v>
      </c>
      <c r="B1" s="4"/>
      <c r="C1" s="4"/>
      <c r="D1" s="4"/>
    </row>
    <row r="3" spans="1:9" x14ac:dyDescent="0.3">
      <c r="A3" t="s">
        <v>65</v>
      </c>
    </row>
    <row r="4" spans="1:9" x14ac:dyDescent="0.3">
      <c r="A4" s="19"/>
    </row>
    <row r="5" spans="1:9" x14ac:dyDescent="0.3">
      <c r="A5" s="19" t="s">
        <v>66</v>
      </c>
    </row>
    <row r="6" spans="1:9" x14ac:dyDescent="0.3">
      <c r="A6" s="19"/>
    </row>
    <row r="7" spans="1:9" x14ac:dyDescent="0.3">
      <c r="A7" s="19" t="s">
        <v>67</v>
      </c>
    </row>
    <row r="8" spans="1:9" x14ac:dyDescent="0.3">
      <c r="A8" s="19"/>
    </row>
    <row r="9" spans="1:9" x14ac:dyDescent="0.3">
      <c r="A9" s="19" t="s">
        <v>68</v>
      </c>
    </row>
    <row r="12" spans="1:9" ht="31.2" x14ac:dyDescent="0.3">
      <c r="A12" s="20" t="s">
        <v>69</v>
      </c>
      <c r="B12" s="1"/>
      <c r="C12" s="1"/>
      <c r="D12" s="1"/>
      <c r="E12" s="1"/>
      <c r="F12" s="1"/>
      <c r="G12" s="1"/>
      <c r="H12" s="1"/>
      <c r="I12" s="1"/>
    </row>
    <row r="14" spans="1:9" x14ac:dyDescent="0.3">
      <c r="A14" t="s">
        <v>70</v>
      </c>
    </row>
    <row r="16" spans="1:9" ht="23.4" x14ac:dyDescent="0.3">
      <c r="A16" s="25" t="s">
        <v>71</v>
      </c>
      <c r="B16" s="3"/>
      <c r="C16" s="3"/>
      <c r="D16" s="3"/>
      <c r="E16" s="3"/>
    </row>
    <row r="18" spans="1:2" x14ac:dyDescent="0.3">
      <c r="A18" s="9" t="s">
        <v>72</v>
      </c>
      <c r="B18" s="9" t="s">
        <v>73</v>
      </c>
    </row>
    <row r="19" spans="1:2" ht="86.4" x14ac:dyDescent="0.3">
      <c r="A19" s="11" t="s">
        <v>74</v>
      </c>
      <c r="B19" s="11" t="s">
        <v>75</v>
      </c>
    </row>
    <row r="20" spans="1:2" ht="28.8" x14ac:dyDescent="0.3">
      <c r="A20" s="11" t="s">
        <v>76</v>
      </c>
      <c r="B20" s="11" t="s">
        <v>77</v>
      </c>
    </row>
    <row r="21" spans="1:2" ht="43.2" x14ac:dyDescent="0.3">
      <c r="A21" s="11" t="s">
        <v>78</v>
      </c>
      <c r="B21" s="11" t="s">
        <v>79</v>
      </c>
    </row>
    <row r="22" spans="1:2" ht="43.2" x14ac:dyDescent="0.3">
      <c r="A22" s="11" t="s">
        <v>80</v>
      </c>
      <c r="B22" s="11" t="s">
        <v>79</v>
      </c>
    </row>
    <row r="24" spans="1:2" ht="23.4" x14ac:dyDescent="0.3">
      <c r="A24" s="25" t="s">
        <v>81</v>
      </c>
    </row>
    <row r="26" spans="1:2" ht="18" x14ac:dyDescent="0.3">
      <c r="A26" s="26" t="s">
        <v>74</v>
      </c>
    </row>
    <row r="28" spans="1:2" x14ac:dyDescent="0.3">
      <c r="A28" t="s">
        <v>82</v>
      </c>
    </row>
    <row r="30" spans="1:2" ht="18" x14ac:dyDescent="0.3">
      <c r="A30" s="26" t="s">
        <v>76</v>
      </c>
    </row>
    <row r="32" spans="1:2" x14ac:dyDescent="0.3">
      <c r="A32" t="s">
        <v>83</v>
      </c>
    </row>
    <row r="34" spans="1:1" ht="18" x14ac:dyDescent="0.3">
      <c r="A34" s="26" t="s">
        <v>78</v>
      </c>
    </row>
    <row r="36" spans="1:1" x14ac:dyDescent="0.3">
      <c r="A36" t="s">
        <v>84</v>
      </c>
    </row>
    <row r="38" spans="1:1" ht="18" x14ac:dyDescent="0.3">
      <c r="A38" s="26" t="s">
        <v>80</v>
      </c>
    </row>
    <row r="40" spans="1:1" x14ac:dyDescent="0.3">
      <c r="A40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opLeftCell="B1" workbookViewId="0">
      <selection activeCell="E26" sqref="E26"/>
    </sheetView>
  </sheetViews>
  <sheetFormatPr defaultRowHeight="14.4" x14ac:dyDescent="0.3"/>
  <cols>
    <col min="1" max="1" width="31.109375" bestFit="1" customWidth="1"/>
    <col min="2" max="2" width="62.88671875" bestFit="1" customWidth="1"/>
    <col min="3" max="3" width="17.5546875" bestFit="1" customWidth="1"/>
    <col min="4" max="11" width="12.109375" bestFit="1" customWidth="1"/>
    <col min="12" max="22" width="13.21875" bestFit="1" customWidth="1"/>
  </cols>
  <sheetData>
    <row r="1" spans="1:22" x14ac:dyDescent="0.3">
      <c r="A1" s="33" t="s">
        <v>33</v>
      </c>
      <c r="B1" s="33"/>
    </row>
    <row r="2" spans="1:22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</row>
    <row r="3" spans="1:22" x14ac:dyDescent="0.3">
      <c r="A3" s="6">
        <v>1</v>
      </c>
      <c r="B3" s="7" t="s">
        <v>22</v>
      </c>
      <c r="C3" s="8">
        <v>7</v>
      </c>
      <c r="D3" s="8">
        <v>7</v>
      </c>
      <c r="E3" s="8">
        <v>9</v>
      </c>
      <c r="F3" s="8">
        <v>6</v>
      </c>
      <c r="G3" s="8">
        <v>9</v>
      </c>
      <c r="H3" s="8">
        <v>9</v>
      </c>
      <c r="I3" s="8">
        <v>8</v>
      </c>
      <c r="J3" s="8">
        <v>6</v>
      </c>
      <c r="K3" s="8">
        <v>8</v>
      </c>
      <c r="L3" s="8">
        <v>7</v>
      </c>
      <c r="M3" s="8">
        <v>5</v>
      </c>
      <c r="N3" s="8">
        <v>9</v>
      </c>
      <c r="O3" s="8">
        <v>9</v>
      </c>
      <c r="P3" s="8">
        <v>6</v>
      </c>
      <c r="Q3" s="8">
        <v>6</v>
      </c>
      <c r="R3" s="8">
        <v>9</v>
      </c>
      <c r="S3" s="8">
        <v>8</v>
      </c>
      <c r="T3" s="8">
        <v>9</v>
      </c>
      <c r="U3" s="8">
        <v>9</v>
      </c>
      <c r="V3" s="8">
        <v>7</v>
      </c>
    </row>
    <row r="4" spans="1:22" x14ac:dyDescent="0.3">
      <c r="A4" s="6">
        <v>2</v>
      </c>
      <c r="B4" s="7" t="s">
        <v>23</v>
      </c>
      <c r="C4" s="8">
        <v>9</v>
      </c>
      <c r="D4" s="8">
        <v>8</v>
      </c>
      <c r="E4" s="8">
        <v>7</v>
      </c>
      <c r="F4" s="8">
        <v>8</v>
      </c>
      <c r="G4" s="8">
        <v>6</v>
      </c>
      <c r="H4" s="8">
        <v>5</v>
      </c>
      <c r="I4" s="8">
        <v>8</v>
      </c>
      <c r="J4" s="8">
        <v>9</v>
      </c>
      <c r="K4" s="8">
        <v>9</v>
      </c>
      <c r="L4" s="8">
        <v>5</v>
      </c>
      <c r="M4" s="8">
        <v>8</v>
      </c>
      <c r="N4" s="8">
        <v>8</v>
      </c>
      <c r="O4" s="8">
        <v>9</v>
      </c>
      <c r="P4" s="8">
        <v>6</v>
      </c>
      <c r="Q4" s="8">
        <v>7</v>
      </c>
      <c r="R4" s="8">
        <v>6</v>
      </c>
      <c r="S4" s="8">
        <v>6</v>
      </c>
      <c r="T4" s="8">
        <v>5</v>
      </c>
      <c r="U4" s="8">
        <v>6</v>
      </c>
      <c r="V4" s="8">
        <v>7</v>
      </c>
    </row>
    <row r="5" spans="1:22" x14ac:dyDescent="0.3">
      <c r="A5" s="6">
        <v>3</v>
      </c>
      <c r="B5" s="7" t="s">
        <v>24</v>
      </c>
      <c r="C5" s="8">
        <v>5</v>
      </c>
      <c r="D5" s="8">
        <v>7</v>
      </c>
      <c r="E5" s="8">
        <v>7</v>
      </c>
      <c r="F5" s="8">
        <v>8</v>
      </c>
      <c r="G5" s="8">
        <v>7</v>
      </c>
      <c r="H5" s="8">
        <v>8</v>
      </c>
      <c r="I5" s="8">
        <v>6</v>
      </c>
      <c r="J5" s="8">
        <v>8</v>
      </c>
      <c r="K5" s="8">
        <v>9</v>
      </c>
      <c r="L5" s="8">
        <v>6</v>
      </c>
      <c r="M5" s="8">
        <v>9</v>
      </c>
      <c r="N5" s="8">
        <v>6</v>
      </c>
      <c r="O5" s="8">
        <v>8</v>
      </c>
      <c r="P5" s="8">
        <v>7</v>
      </c>
      <c r="Q5" s="8">
        <v>5</v>
      </c>
      <c r="R5" s="8">
        <v>9</v>
      </c>
      <c r="S5" s="8">
        <v>8</v>
      </c>
      <c r="T5" s="8">
        <v>7</v>
      </c>
      <c r="U5" s="8">
        <v>6</v>
      </c>
      <c r="V5" s="8">
        <v>5</v>
      </c>
    </row>
    <row r="6" spans="1:22" x14ac:dyDescent="0.3">
      <c r="A6" s="6">
        <v>4</v>
      </c>
      <c r="B6" s="7" t="s">
        <v>25</v>
      </c>
      <c r="C6" s="8">
        <v>7</v>
      </c>
      <c r="D6" s="8">
        <v>5</v>
      </c>
      <c r="E6" s="8">
        <v>7</v>
      </c>
      <c r="F6" s="8">
        <v>9</v>
      </c>
      <c r="G6" s="8">
        <v>6</v>
      </c>
      <c r="H6" s="8">
        <v>8</v>
      </c>
      <c r="I6" s="8">
        <v>6</v>
      </c>
      <c r="J6" s="8">
        <v>8</v>
      </c>
      <c r="K6" s="8">
        <v>7</v>
      </c>
      <c r="L6" s="8">
        <v>9</v>
      </c>
      <c r="M6" s="8">
        <v>9</v>
      </c>
      <c r="N6" s="8">
        <v>8</v>
      </c>
      <c r="O6" s="8">
        <v>8</v>
      </c>
      <c r="P6" s="8">
        <v>9</v>
      </c>
      <c r="Q6" s="8">
        <v>9</v>
      </c>
      <c r="R6" s="8">
        <v>9</v>
      </c>
      <c r="S6" s="8">
        <v>6</v>
      </c>
      <c r="T6" s="8">
        <v>8</v>
      </c>
      <c r="U6" s="8">
        <v>6</v>
      </c>
      <c r="V6" s="8">
        <v>6</v>
      </c>
    </row>
    <row r="7" spans="1:22" x14ac:dyDescent="0.3">
      <c r="A7" s="6">
        <v>5</v>
      </c>
      <c r="B7" s="7" t="s">
        <v>26</v>
      </c>
      <c r="C7" s="8">
        <v>6</v>
      </c>
      <c r="D7" s="8">
        <v>5</v>
      </c>
      <c r="E7" s="8">
        <v>8</v>
      </c>
      <c r="F7" s="8">
        <v>9</v>
      </c>
      <c r="G7" s="8">
        <v>9</v>
      </c>
      <c r="H7" s="8">
        <v>7</v>
      </c>
      <c r="I7" s="8">
        <v>5</v>
      </c>
      <c r="J7" s="8">
        <v>8</v>
      </c>
      <c r="K7" s="8">
        <v>8</v>
      </c>
      <c r="L7" s="8">
        <v>7</v>
      </c>
      <c r="M7" s="8">
        <v>9</v>
      </c>
      <c r="N7" s="8">
        <v>8</v>
      </c>
      <c r="O7" s="8">
        <v>6</v>
      </c>
      <c r="P7" s="8">
        <v>9</v>
      </c>
      <c r="Q7" s="8">
        <v>5</v>
      </c>
      <c r="R7" s="8">
        <v>7</v>
      </c>
      <c r="S7" s="8">
        <v>9</v>
      </c>
      <c r="T7" s="8">
        <v>7</v>
      </c>
      <c r="U7" s="8">
        <v>8</v>
      </c>
      <c r="V7" s="8">
        <v>7</v>
      </c>
    </row>
    <row r="8" spans="1:22" x14ac:dyDescent="0.3">
      <c r="A8" s="6">
        <v>6</v>
      </c>
      <c r="B8" s="7" t="s">
        <v>27</v>
      </c>
      <c r="C8" s="8">
        <v>6</v>
      </c>
      <c r="D8" s="8">
        <v>8</v>
      </c>
      <c r="E8" s="8">
        <v>5</v>
      </c>
      <c r="F8" s="8">
        <v>9</v>
      </c>
      <c r="G8" s="8">
        <v>6</v>
      </c>
      <c r="H8" s="8">
        <v>8</v>
      </c>
      <c r="I8" s="8">
        <v>6</v>
      </c>
      <c r="J8" s="8">
        <v>6</v>
      </c>
      <c r="K8" s="8">
        <v>6</v>
      </c>
      <c r="L8" s="8">
        <v>6</v>
      </c>
      <c r="M8" s="8">
        <v>9</v>
      </c>
      <c r="N8" s="8">
        <v>6</v>
      </c>
      <c r="O8" s="8">
        <v>8</v>
      </c>
      <c r="P8" s="8">
        <v>5</v>
      </c>
      <c r="Q8" s="8">
        <v>7</v>
      </c>
      <c r="R8" s="8">
        <v>6</v>
      </c>
      <c r="S8" s="8">
        <v>8</v>
      </c>
      <c r="T8" s="8">
        <v>7</v>
      </c>
      <c r="U8" s="8">
        <v>5</v>
      </c>
      <c r="V8" s="8">
        <v>5</v>
      </c>
    </row>
    <row r="9" spans="1:22" x14ac:dyDescent="0.3">
      <c r="A9" s="6">
        <v>7</v>
      </c>
      <c r="B9" s="7" t="s">
        <v>28</v>
      </c>
      <c r="C9" s="8">
        <v>8</v>
      </c>
      <c r="D9" s="8">
        <v>5</v>
      </c>
      <c r="E9" s="8">
        <v>6</v>
      </c>
      <c r="F9" s="8">
        <v>8</v>
      </c>
      <c r="G9" s="8">
        <v>5</v>
      </c>
      <c r="H9" s="8">
        <v>7</v>
      </c>
      <c r="I9" s="8">
        <v>9</v>
      </c>
      <c r="J9" s="8">
        <v>9</v>
      </c>
      <c r="K9" s="8">
        <v>5</v>
      </c>
      <c r="L9" s="8">
        <v>7</v>
      </c>
      <c r="M9" s="8">
        <v>9</v>
      </c>
      <c r="N9" s="8">
        <v>9</v>
      </c>
      <c r="O9" s="8">
        <v>8</v>
      </c>
      <c r="P9" s="8">
        <v>9</v>
      </c>
      <c r="Q9" s="8">
        <v>5</v>
      </c>
      <c r="R9" s="8">
        <v>5</v>
      </c>
      <c r="S9" s="8">
        <v>5</v>
      </c>
      <c r="T9" s="8">
        <v>8</v>
      </c>
      <c r="U9" s="8">
        <v>8</v>
      </c>
      <c r="V9" s="8">
        <v>9</v>
      </c>
    </row>
    <row r="10" spans="1:22" x14ac:dyDescent="0.3">
      <c r="A10" s="6">
        <v>8</v>
      </c>
      <c r="B10" s="7" t="s">
        <v>29</v>
      </c>
      <c r="C10" s="8">
        <v>9</v>
      </c>
      <c r="D10" s="8">
        <v>9</v>
      </c>
      <c r="E10" s="8">
        <v>5</v>
      </c>
      <c r="F10" s="8">
        <v>8</v>
      </c>
      <c r="G10" s="8">
        <v>6</v>
      </c>
      <c r="H10" s="8">
        <v>6</v>
      </c>
      <c r="I10" s="8">
        <v>9</v>
      </c>
      <c r="J10" s="8">
        <v>9</v>
      </c>
      <c r="K10" s="8">
        <v>6</v>
      </c>
      <c r="L10" s="8">
        <v>8</v>
      </c>
      <c r="M10" s="8">
        <v>5</v>
      </c>
      <c r="N10" s="8">
        <v>8</v>
      </c>
      <c r="O10" s="8">
        <v>6</v>
      </c>
      <c r="P10" s="8">
        <v>6</v>
      </c>
      <c r="Q10" s="8">
        <v>8</v>
      </c>
      <c r="R10" s="8">
        <v>8</v>
      </c>
      <c r="S10" s="8">
        <v>8</v>
      </c>
      <c r="T10" s="8">
        <v>5</v>
      </c>
      <c r="U10" s="8">
        <v>8</v>
      </c>
      <c r="V10" s="8">
        <v>6</v>
      </c>
    </row>
    <row r="14" spans="1:22" x14ac:dyDescent="0.3">
      <c r="A14" s="32" t="s">
        <v>30</v>
      </c>
      <c r="B14" s="32"/>
      <c r="C14" s="32"/>
      <c r="D14" s="32"/>
    </row>
    <row r="15" spans="1:22" x14ac:dyDescent="0.3">
      <c r="A15" s="35" t="s">
        <v>0</v>
      </c>
      <c r="B15" s="35" t="s">
        <v>1</v>
      </c>
      <c r="C15" s="5" t="s">
        <v>31</v>
      </c>
      <c r="D15" s="5"/>
    </row>
    <row r="16" spans="1:22" x14ac:dyDescent="0.3">
      <c r="A16" s="35"/>
      <c r="B16" s="35"/>
      <c r="C16" s="5" t="s">
        <v>32</v>
      </c>
      <c r="D16" s="5"/>
    </row>
    <row r="17" spans="1:4" ht="13.2" customHeight="1" x14ac:dyDescent="0.3">
      <c r="A17" s="6">
        <v>1</v>
      </c>
      <c r="B17" s="7" t="s">
        <v>22</v>
      </c>
      <c r="C17" s="34">
        <f>ROUND(AVERAGE(C3:V3),0)</f>
        <v>8</v>
      </c>
      <c r="D17" s="34"/>
    </row>
    <row r="18" spans="1:4" x14ac:dyDescent="0.3">
      <c r="A18" s="6">
        <v>2</v>
      </c>
      <c r="B18" s="7" t="s">
        <v>23</v>
      </c>
      <c r="C18" s="34">
        <f t="shared" ref="C18:C24" si="0">ROUND(AVERAGE(C4:V4),0)</f>
        <v>7</v>
      </c>
      <c r="D18" s="34"/>
    </row>
    <row r="19" spans="1:4" x14ac:dyDescent="0.3">
      <c r="A19" s="6">
        <v>3</v>
      </c>
      <c r="B19" s="7" t="s">
        <v>24</v>
      </c>
      <c r="C19" s="34">
        <f t="shared" si="0"/>
        <v>7</v>
      </c>
      <c r="D19" s="34"/>
    </row>
    <row r="20" spans="1:4" x14ac:dyDescent="0.3">
      <c r="A20" s="6">
        <v>4</v>
      </c>
      <c r="B20" s="7" t="s">
        <v>25</v>
      </c>
      <c r="C20" s="34">
        <f t="shared" si="0"/>
        <v>8</v>
      </c>
      <c r="D20" s="34"/>
    </row>
    <row r="21" spans="1:4" x14ac:dyDescent="0.3">
      <c r="A21" s="6">
        <v>5</v>
      </c>
      <c r="B21" s="7" t="s">
        <v>26</v>
      </c>
      <c r="C21" s="34">
        <f t="shared" si="0"/>
        <v>7</v>
      </c>
      <c r="D21" s="34"/>
    </row>
    <row r="22" spans="1:4" x14ac:dyDescent="0.3">
      <c r="A22" s="6">
        <v>6</v>
      </c>
      <c r="B22" s="7" t="s">
        <v>27</v>
      </c>
      <c r="C22" s="34">
        <f t="shared" si="0"/>
        <v>7</v>
      </c>
      <c r="D22" s="34"/>
    </row>
    <row r="23" spans="1:4" x14ac:dyDescent="0.3">
      <c r="A23" s="6">
        <v>7</v>
      </c>
      <c r="B23" s="7" t="s">
        <v>28</v>
      </c>
      <c r="C23" s="34">
        <f t="shared" si="0"/>
        <v>7</v>
      </c>
      <c r="D23" s="34"/>
    </row>
    <row r="24" spans="1:4" x14ac:dyDescent="0.3">
      <c r="A24" s="6">
        <v>8</v>
      </c>
      <c r="B24" s="7" t="s">
        <v>29</v>
      </c>
      <c r="C24" s="34">
        <f t="shared" si="0"/>
        <v>7</v>
      </c>
      <c r="D24" s="34"/>
    </row>
  </sheetData>
  <mergeCells count="12">
    <mergeCell ref="A14:D14"/>
    <mergeCell ref="A1:B1"/>
    <mergeCell ref="C22:D22"/>
    <mergeCell ref="C23:D23"/>
    <mergeCell ref="C24:D24"/>
    <mergeCell ref="B15:B16"/>
    <mergeCell ref="A15:A16"/>
    <mergeCell ref="C17:D17"/>
    <mergeCell ref="C18:D18"/>
    <mergeCell ref="C19:D19"/>
    <mergeCell ref="C20:D20"/>
    <mergeCell ref="C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6A83-83B6-4645-B981-5F6A62D82121}">
  <dimension ref="A2:I10"/>
  <sheetViews>
    <sheetView workbookViewId="0">
      <selection activeCell="A2" sqref="A2:I10"/>
    </sheetView>
  </sheetViews>
  <sheetFormatPr defaultRowHeight="14.4" x14ac:dyDescent="0.3"/>
  <cols>
    <col min="2" max="2" width="62.88671875" bestFit="1" customWidth="1"/>
  </cols>
  <sheetData>
    <row r="2" spans="1:9" ht="43.2" x14ac:dyDescent="0.3">
      <c r="A2" s="5" t="s">
        <v>0</v>
      </c>
      <c r="B2" s="5" t="s">
        <v>1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</row>
    <row r="3" spans="1:9" x14ac:dyDescent="0.3">
      <c r="A3" s="6">
        <v>1</v>
      </c>
      <c r="B3" s="7" t="s">
        <v>22</v>
      </c>
      <c r="C3" s="13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8">
        <v>8</v>
      </c>
    </row>
    <row r="4" spans="1:9" x14ac:dyDescent="0.3">
      <c r="A4" s="6">
        <v>2</v>
      </c>
      <c r="B4" s="7" t="s">
        <v>23</v>
      </c>
      <c r="C4" s="13">
        <v>1</v>
      </c>
      <c r="D4" s="8">
        <v>0</v>
      </c>
      <c r="E4" s="8">
        <v>0</v>
      </c>
      <c r="F4" s="8">
        <v>0</v>
      </c>
      <c r="G4" s="8">
        <v>1</v>
      </c>
      <c r="H4" s="8">
        <v>0</v>
      </c>
      <c r="I4" s="8">
        <v>7</v>
      </c>
    </row>
    <row r="5" spans="1:9" x14ac:dyDescent="0.3">
      <c r="A5" s="6">
        <v>3</v>
      </c>
      <c r="B5" s="7" t="s">
        <v>24</v>
      </c>
      <c r="C5" s="13">
        <v>0</v>
      </c>
      <c r="D5" s="8">
        <v>0</v>
      </c>
      <c r="E5" s="8">
        <v>1</v>
      </c>
      <c r="F5" s="8">
        <v>0</v>
      </c>
      <c r="G5" s="8">
        <v>1</v>
      </c>
      <c r="H5" s="8">
        <v>1</v>
      </c>
      <c r="I5" s="8">
        <v>7</v>
      </c>
    </row>
    <row r="6" spans="1:9" x14ac:dyDescent="0.3">
      <c r="A6" s="6">
        <v>4</v>
      </c>
      <c r="B6" s="7" t="s">
        <v>25</v>
      </c>
      <c r="C6" s="13">
        <v>0</v>
      </c>
      <c r="D6" s="8">
        <v>1</v>
      </c>
      <c r="E6" s="8">
        <v>1</v>
      </c>
      <c r="F6" s="8">
        <v>0</v>
      </c>
      <c r="G6" s="8">
        <v>0</v>
      </c>
      <c r="H6" s="8">
        <v>0</v>
      </c>
      <c r="I6" s="8">
        <v>8</v>
      </c>
    </row>
    <row r="7" spans="1:9" x14ac:dyDescent="0.3">
      <c r="A7" s="6">
        <v>5</v>
      </c>
      <c r="B7" s="7" t="s">
        <v>26</v>
      </c>
      <c r="C7" s="13">
        <v>0</v>
      </c>
      <c r="D7" s="15">
        <v>0</v>
      </c>
      <c r="E7" s="15">
        <v>0</v>
      </c>
      <c r="F7" s="15">
        <v>1</v>
      </c>
      <c r="G7" s="15">
        <v>0</v>
      </c>
      <c r="H7" s="15">
        <v>0</v>
      </c>
      <c r="I7" s="8">
        <v>7</v>
      </c>
    </row>
    <row r="8" spans="1:9" x14ac:dyDescent="0.3">
      <c r="A8" s="6">
        <v>6</v>
      </c>
      <c r="B8" s="7" t="s">
        <v>27</v>
      </c>
      <c r="C8" s="13">
        <v>1</v>
      </c>
      <c r="D8" s="8">
        <v>0</v>
      </c>
      <c r="E8" s="8">
        <v>0</v>
      </c>
      <c r="F8" s="8">
        <v>1</v>
      </c>
      <c r="G8" s="8">
        <v>1</v>
      </c>
      <c r="H8" s="8">
        <v>1</v>
      </c>
      <c r="I8" s="8">
        <v>7</v>
      </c>
    </row>
    <row r="9" spans="1:9" x14ac:dyDescent="0.3">
      <c r="A9" s="6">
        <v>7</v>
      </c>
      <c r="B9" s="7" t="s">
        <v>28</v>
      </c>
      <c r="C9" s="13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7</v>
      </c>
    </row>
    <row r="10" spans="1:9" x14ac:dyDescent="0.3">
      <c r="A10" s="6">
        <v>8</v>
      </c>
      <c r="B10" s="7" t="s">
        <v>29</v>
      </c>
      <c r="C10" s="13">
        <v>0</v>
      </c>
      <c r="D10" s="8">
        <v>1</v>
      </c>
      <c r="E10" s="8">
        <v>0</v>
      </c>
      <c r="F10" s="8">
        <v>0</v>
      </c>
      <c r="G10" s="8">
        <v>1</v>
      </c>
      <c r="H10" s="8">
        <v>0</v>
      </c>
      <c r="I10" s="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1849-D7C9-4767-B92E-FF87DC3DC560}">
  <dimension ref="A1:I23"/>
  <sheetViews>
    <sheetView tabSelected="1" workbookViewId="0">
      <selection activeCell="B16" sqref="B16"/>
    </sheetView>
  </sheetViews>
  <sheetFormatPr defaultRowHeight="14.4" x14ac:dyDescent="0.3"/>
  <cols>
    <col min="1" max="1" width="19.2187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86</v>
      </c>
    </row>
    <row r="2" spans="1:9" ht="15" thickBot="1" x14ac:dyDescent="0.35"/>
    <row r="3" spans="1:9" x14ac:dyDescent="0.3">
      <c r="A3" s="29" t="s">
        <v>87</v>
      </c>
      <c r="B3" s="29"/>
    </row>
    <row r="4" spans="1:9" x14ac:dyDescent="0.3">
      <c r="A4" t="s">
        <v>88</v>
      </c>
      <c r="B4">
        <v>0.91287092917527679</v>
      </c>
    </row>
    <row r="5" spans="1:9" x14ac:dyDescent="0.3">
      <c r="A5" t="s">
        <v>89</v>
      </c>
      <c r="B5">
        <v>0.83333333333333315</v>
      </c>
    </row>
    <row r="6" spans="1:9" x14ac:dyDescent="0.3">
      <c r="A6" t="s">
        <v>90</v>
      </c>
      <c r="B6">
        <v>-0.16666666666666785</v>
      </c>
    </row>
    <row r="7" spans="1:9" x14ac:dyDescent="0.3">
      <c r="A7" t="s">
        <v>91</v>
      </c>
      <c r="B7">
        <v>0.50000000000000022</v>
      </c>
    </row>
    <row r="8" spans="1:9" ht="15" thickBot="1" x14ac:dyDescent="0.35">
      <c r="A8" s="27" t="s">
        <v>92</v>
      </c>
      <c r="B8" s="27">
        <v>8</v>
      </c>
    </row>
    <row r="10" spans="1:9" ht="15" thickBot="1" x14ac:dyDescent="0.35">
      <c r="A10" t="s">
        <v>93</v>
      </c>
    </row>
    <row r="11" spans="1:9" x14ac:dyDescent="0.3">
      <c r="A11" s="28"/>
      <c r="B11" s="28" t="s">
        <v>98</v>
      </c>
      <c r="C11" s="28" t="s">
        <v>99</v>
      </c>
      <c r="D11" s="28" t="s">
        <v>100</v>
      </c>
      <c r="E11" s="28" t="s">
        <v>101</v>
      </c>
      <c r="F11" s="28" t="s">
        <v>102</v>
      </c>
    </row>
    <row r="12" spans="1:9" x14ac:dyDescent="0.3">
      <c r="A12" t="s">
        <v>94</v>
      </c>
      <c r="B12">
        <v>6</v>
      </c>
      <c r="C12">
        <v>1.2499999999999998</v>
      </c>
      <c r="D12">
        <v>0.20833333333333329</v>
      </c>
      <c r="E12">
        <v>0.83333333333333237</v>
      </c>
      <c r="F12" s="30">
        <v>0.68466640379877064</v>
      </c>
    </row>
    <row r="13" spans="1:9" x14ac:dyDescent="0.3">
      <c r="A13" t="s">
        <v>95</v>
      </c>
      <c r="B13">
        <v>1</v>
      </c>
      <c r="C13">
        <v>0.25000000000000022</v>
      </c>
      <c r="D13">
        <v>0.25000000000000022</v>
      </c>
    </row>
    <row r="14" spans="1:9" ht="15" thickBot="1" x14ac:dyDescent="0.35">
      <c r="A14" s="27" t="s">
        <v>96</v>
      </c>
      <c r="B14" s="27">
        <v>7</v>
      </c>
      <c r="C14" s="27">
        <v>1.5</v>
      </c>
      <c r="D14" s="27"/>
      <c r="E14" s="27"/>
      <c r="F14" s="27"/>
    </row>
    <row r="15" spans="1:9" ht="15" thickBot="1" x14ac:dyDescent="0.35"/>
    <row r="16" spans="1:9" x14ac:dyDescent="0.3">
      <c r="A16" s="28"/>
      <c r="B16" s="28" t="s">
        <v>103</v>
      </c>
      <c r="C16" s="28" t="s">
        <v>91</v>
      </c>
      <c r="D16" s="28" t="s">
        <v>104</v>
      </c>
      <c r="E16" s="28" t="s">
        <v>105</v>
      </c>
      <c r="F16" s="28" t="s">
        <v>106</v>
      </c>
      <c r="G16" s="28" t="s">
        <v>107</v>
      </c>
      <c r="H16" s="28" t="s">
        <v>108</v>
      </c>
      <c r="I16" s="28" t="s">
        <v>109</v>
      </c>
    </row>
    <row r="17" spans="1:9" x14ac:dyDescent="0.3">
      <c r="A17" t="s">
        <v>97</v>
      </c>
      <c r="B17" s="30">
        <v>8</v>
      </c>
      <c r="C17">
        <v>0.50000000000000011</v>
      </c>
      <c r="D17">
        <v>15.999999999999996</v>
      </c>
      <c r="E17">
        <v>3.9737048611081689E-2</v>
      </c>
      <c r="F17">
        <v>1.6468976319126449</v>
      </c>
      <c r="G17">
        <v>14.353102368087356</v>
      </c>
      <c r="H17">
        <v>1.6468976319126449</v>
      </c>
      <c r="I17">
        <v>14.353102368087356</v>
      </c>
    </row>
    <row r="18" spans="1:9" x14ac:dyDescent="0.3">
      <c r="A18" t="s">
        <v>34</v>
      </c>
      <c r="B18" s="30">
        <v>0.12500000000000008</v>
      </c>
      <c r="C18">
        <v>0.48412291827592735</v>
      </c>
      <c r="D18">
        <v>0.25819888974716115</v>
      </c>
      <c r="E18">
        <v>0.83913875348966749</v>
      </c>
      <c r="F18">
        <v>-6.0263649170883085</v>
      </c>
      <c r="G18">
        <v>6.2763649170883085</v>
      </c>
      <c r="H18">
        <v>-6.0263649170883085</v>
      </c>
      <c r="I18">
        <v>6.2763649170883085</v>
      </c>
    </row>
    <row r="19" spans="1:9" x14ac:dyDescent="0.3">
      <c r="A19" t="s">
        <v>35</v>
      </c>
      <c r="B19" s="30">
        <v>0.625</v>
      </c>
      <c r="C19">
        <v>0.59947894041409022</v>
      </c>
      <c r="D19">
        <v>1.0425720702853734</v>
      </c>
      <c r="E19">
        <v>0.48673324742628471</v>
      </c>
      <c r="F19">
        <v>-6.9921021519265079</v>
      </c>
      <c r="G19">
        <v>8.2421021519265079</v>
      </c>
      <c r="H19">
        <v>-6.9921021519265079</v>
      </c>
      <c r="I19">
        <v>8.2421021519265079</v>
      </c>
    </row>
    <row r="20" spans="1:9" x14ac:dyDescent="0.3">
      <c r="A20" t="s">
        <v>36</v>
      </c>
      <c r="B20" s="30">
        <v>-0.87499999999999989</v>
      </c>
      <c r="C20">
        <v>0.69597054535375313</v>
      </c>
      <c r="D20">
        <v>-1.2572371141874235</v>
      </c>
      <c r="E20">
        <v>0.42776178798381165</v>
      </c>
      <c r="F20">
        <v>-9.7181442396119522</v>
      </c>
      <c r="G20">
        <v>7.9681442396119522</v>
      </c>
      <c r="H20">
        <v>-9.7181442396119522</v>
      </c>
      <c r="I20">
        <v>7.9681442396119522</v>
      </c>
    </row>
    <row r="21" spans="1:9" x14ac:dyDescent="0.3">
      <c r="A21" t="s">
        <v>37</v>
      </c>
      <c r="B21" s="30">
        <v>-0.99999999999999978</v>
      </c>
      <c r="C21">
        <v>0.70710678118654779</v>
      </c>
      <c r="D21">
        <v>-1.4142135623730943</v>
      </c>
      <c r="E21">
        <v>0.3918265520306074</v>
      </c>
      <c r="F21">
        <v>-9.9846435320937648</v>
      </c>
      <c r="G21">
        <v>7.9846435320937648</v>
      </c>
      <c r="H21">
        <v>-9.9846435320937648</v>
      </c>
      <c r="I21">
        <v>7.9846435320937648</v>
      </c>
    </row>
    <row r="22" spans="1:9" x14ac:dyDescent="0.3">
      <c r="A22" t="s">
        <v>38</v>
      </c>
      <c r="B22" s="30">
        <v>-1.3749999999999998</v>
      </c>
      <c r="C22">
        <v>0.78062474979980001</v>
      </c>
      <c r="D22">
        <v>-1.7614096918559576</v>
      </c>
      <c r="E22">
        <v>0.32871945871228964</v>
      </c>
      <c r="F22">
        <v>-11.293777893081414</v>
      </c>
      <c r="G22">
        <v>8.5437778930814137</v>
      </c>
      <c r="H22">
        <v>-11.293777893081414</v>
      </c>
      <c r="I22">
        <v>8.5437778930814137</v>
      </c>
    </row>
    <row r="23" spans="1:9" ht="15" thickBot="1" x14ac:dyDescent="0.35">
      <c r="A23" s="27" t="s">
        <v>39</v>
      </c>
      <c r="B23" s="31">
        <v>1.2499999999999996</v>
      </c>
      <c r="C23" s="27">
        <v>0.96824583655185459</v>
      </c>
      <c r="D23" s="27">
        <v>1.2909944487358047</v>
      </c>
      <c r="E23" s="27">
        <v>0.41956937674483397</v>
      </c>
      <c r="F23" s="27">
        <v>-11.052729834176615</v>
      </c>
      <c r="G23" s="27">
        <v>13.552729834176615</v>
      </c>
      <c r="H23" s="27">
        <v>-11.052729834176615</v>
      </c>
      <c r="I23" s="27">
        <v>13.552729834176615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AB5F-1AF6-4EB1-8568-5EA8C914F13E}">
  <dimension ref="A2:H13"/>
  <sheetViews>
    <sheetView workbookViewId="0">
      <selection activeCell="E22" sqref="E22"/>
    </sheetView>
  </sheetViews>
  <sheetFormatPr defaultRowHeight="14.4" x14ac:dyDescent="0.3"/>
  <cols>
    <col min="1" max="1" width="19.21875" bestFit="1" customWidth="1"/>
    <col min="2" max="2" width="13.44140625" customWidth="1"/>
    <col min="4" max="4" width="10.5546875" customWidth="1"/>
  </cols>
  <sheetData>
    <row r="2" spans="1:8" x14ac:dyDescent="0.3">
      <c r="B2" s="2" t="s">
        <v>110</v>
      </c>
      <c r="D2" s="2" t="s">
        <v>111</v>
      </c>
      <c r="F2" s="2" t="s">
        <v>112</v>
      </c>
      <c r="H2" s="2" t="s">
        <v>113</v>
      </c>
    </row>
    <row r="3" spans="1:8" x14ac:dyDescent="0.3">
      <c r="A3" t="s">
        <v>34</v>
      </c>
      <c r="B3" s="30">
        <v>0.12500000000000008</v>
      </c>
      <c r="D3" s="30">
        <f>B3-$B$5</f>
        <v>-0.24999999999999997</v>
      </c>
      <c r="F3">
        <f>D3-D4</f>
        <v>-0.49999999999999989</v>
      </c>
      <c r="H3">
        <f>F3/(F3+F7+F11+F13)</f>
        <v>0.99999999999999933</v>
      </c>
    </row>
    <row r="4" spans="1:8" x14ac:dyDescent="0.3">
      <c r="A4" t="s">
        <v>35</v>
      </c>
      <c r="B4" s="30">
        <v>0.625</v>
      </c>
      <c r="D4" s="30">
        <f>B4-$B$5</f>
        <v>0.24999999999999994</v>
      </c>
    </row>
    <row r="5" spans="1:8" x14ac:dyDescent="0.3">
      <c r="B5" s="30">
        <f>AVERAGE(B3:B4)</f>
        <v>0.37500000000000006</v>
      </c>
    </row>
    <row r="7" spans="1:8" x14ac:dyDescent="0.3">
      <c r="A7" t="s">
        <v>36</v>
      </c>
      <c r="B7" s="30">
        <v>-0.87499999999999989</v>
      </c>
      <c r="D7" s="30">
        <f>B7-$B$9</f>
        <v>6.2499999999999889E-2</v>
      </c>
      <c r="F7">
        <f>D7-D8</f>
        <v>0.12499999999999989</v>
      </c>
      <c r="H7">
        <f>F7/(F7+F3+F11+F13)</f>
        <v>-0.24999999999999967</v>
      </c>
    </row>
    <row r="8" spans="1:8" x14ac:dyDescent="0.3">
      <c r="A8" t="s">
        <v>37</v>
      </c>
      <c r="B8" s="30">
        <v>-0.99999999999999978</v>
      </c>
      <c r="D8" s="30">
        <f>B8-$B$9</f>
        <v>-6.25E-2</v>
      </c>
    </row>
    <row r="9" spans="1:8" x14ac:dyDescent="0.3">
      <c r="B9">
        <f>AVERAGE(B7:B8)</f>
        <v>-0.93749999999999978</v>
      </c>
    </row>
    <row r="11" spans="1:8" x14ac:dyDescent="0.3">
      <c r="A11" t="s">
        <v>38</v>
      </c>
      <c r="B11" s="30">
        <v>-1.3749999999999998</v>
      </c>
      <c r="D11" s="30">
        <v>-1.3749999999999998</v>
      </c>
      <c r="F11" s="30">
        <v>-1.3749999999999998</v>
      </c>
      <c r="H11">
        <f>F11/(F11+F3+F7+F13)</f>
        <v>2.7499999999999996</v>
      </c>
    </row>
    <row r="12" spans="1:8" x14ac:dyDescent="0.3">
      <c r="B12" s="30"/>
    </row>
    <row r="13" spans="1:8" ht="15" thickBot="1" x14ac:dyDescent="0.35">
      <c r="A13" s="27" t="s">
        <v>39</v>
      </c>
      <c r="B13" s="31">
        <v>1.2499999999999996</v>
      </c>
      <c r="D13" s="30"/>
      <c r="F13" s="31">
        <v>1.2499999999999996</v>
      </c>
      <c r="H13">
        <f>F13/(F13+F11+F7+F3)</f>
        <v>-2.4999999999999982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problem</vt:lpstr>
      <vt:lpstr>Attributes and Level </vt:lpstr>
      <vt:lpstr>Stimulated customer data</vt:lpstr>
      <vt:lpstr>Dummyfication</vt:lpstr>
      <vt:lpstr>Regression Analysis</vt:lpstr>
      <vt:lpstr>Conjoint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Singh</cp:lastModifiedBy>
  <dcterms:created xsi:type="dcterms:W3CDTF">2026-03-14T16:56:17Z</dcterms:created>
  <dcterms:modified xsi:type="dcterms:W3CDTF">2026-03-15T09:11:38Z</dcterms:modified>
</cp:coreProperties>
</file>